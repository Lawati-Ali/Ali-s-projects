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Programming\Github\"/>
    </mc:Choice>
  </mc:AlternateContent>
  <xr:revisionPtr revIDLastSave="0" documentId="13_ncr:1_{B32937A6-919E-4919-99A9-23C314B84306}" xr6:coauthVersionLast="47" xr6:coauthVersionMax="47" xr10:uidLastSave="{00000000-0000-0000-0000-000000000000}"/>
  <bookViews>
    <workbookView xWindow="5340" yWindow="-16320" windowWidth="29040" windowHeight="15720" xr2:uid="{00000000-000D-0000-FFFF-FFFF00000000}"/>
  </bookViews>
  <sheets>
    <sheet name="BondPricer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" i="2" l="1"/>
  <c r="E17" i="2" s="1"/>
  <c r="C16" i="2"/>
  <c r="E16" i="2" s="1"/>
  <c r="C15" i="2"/>
  <c r="E15" i="2" s="1"/>
  <c r="C14" i="2"/>
  <c r="E14" i="2" s="1"/>
  <c r="C13" i="2"/>
  <c r="E13" i="2" s="1"/>
  <c r="C12" i="2"/>
  <c r="E12" i="2" s="1"/>
  <c r="C11" i="2"/>
  <c r="E11" i="2" s="1"/>
  <c r="C10" i="2"/>
  <c r="E10" i="2" s="1"/>
  <c r="E9" i="2"/>
  <c r="E18" i="2" l="1"/>
  <c r="C18" i="2"/>
  <c r="H9" i="2"/>
</calcChain>
</file>

<file path=xl/sharedStrings.xml><?xml version="1.0" encoding="utf-8"?>
<sst xmlns="http://schemas.openxmlformats.org/spreadsheetml/2006/main" count="14" uniqueCount="12">
  <si>
    <t>Time</t>
  </si>
  <si>
    <t>T</t>
  </si>
  <si>
    <t>Periods</t>
  </si>
  <si>
    <t>n</t>
  </si>
  <si>
    <t>Notional</t>
  </si>
  <si>
    <t>N</t>
  </si>
  <si>
    <t>Coupon</t>
  </si>
  <si>
    <t>CF</t>
  </si>
  <si>
    <t>Rate</t>
  </si>
  <si>
    <t>r</t>
  </si>
  <si>
    <t>PV of CF</t>
  </si>
  <si>
    <t>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</si>
</sst>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$-409]#,##0_ ;[Red]\-[$$-409]#,##0\ "/>
    <numFmt numFmtId="165" formatCode="0.0%"/>
    <numFmt numFmtId="166" formatCode="[$$-409]#,##0.00_ ;[Red]\-[$$-409]#,##0.00\ 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3" borderId="2" xfId="0" applyFill="1" applyBorder="1"/>
    <xf numFmtId="164" fontId="0" fillId="3" borderId="2" xfId="0" applyNumberFormat="1" applyFill="1" applyBorder="1"/>
    <xf numFmtId="0" fontId="0" fillId="2" borderId="3" xfId="0" applyFill="1" applyBorder="1"/>
    <xf numFmtId="164" fontId="0" fillId="3" borderId="2" xfId="0" applyNumberFormat="1" applyFill="1" applyBorder="1" applyAlignment="1">
      <alignment horizontal="right"/>
    </xf>
    <xf numFmtId="0" fontId="0" fillId="2" borderId="4" xfId="0" applyFill="1" applyBorder="1"/>
    <xf numFmtId="165" fontId="0" fillId="3" borderId="3" xfId="0" applyNumberFormat="1" applyFill="1" applyBorder="1"/>
    <xf numFmtId="2" fontId="0" fillId="2" borderId="1" xfId="0" applyNumberFormat="1" applyFill="1" applyBorder="1"/>
    <xf numFmtId="0" fontId="0" fillId="2" borderId="5" xfId="0" applyFill="1" applyBorder="1"/>
    <xf numFmtId="166" fontId="0" fillId="3" borderId="2" xfId="0" applyNumberFormat="1" applyFill="1" applyBorder="1"/>
    <xf numFmtId="166" fontId="0" fillId="3" borderId="1" xfId="0" applyNumberFormat="1" applyFill="1" applyBorder="1"/>
    <xf numFmtId="0" fontId="0" fillId="2" borderId="6" xfId="0" applyFill="1" applyBorder="1"/>
    <xf numFmtId="166" fontId="0" fillId="3" borderId="2" xfId="0" applyNumberFormat="1" applyFill="1" applyBorder="1" applyAlignment="1">
      <alignment horizontal="right"/>
    </xf>
    <xf numFmtId="0" fontId="0" fillId="3" borderId="1" xfId="0" applyFill="1" applyBorder="1"/>
    <xf numFmtId="2" fontId="1" fillId="2" borderId="1" xfId="0" applyNumberFormat="1" applyFont="1" applyFill="1" applyBorder="1"/>
    <xf numFmtId="164" fontId="1" fillId="2" borderId="0" xfId="0" applyNumberFormat="1" applyFont="1" applyFill="1"/>
    <xf numFmtId="166" fontId="2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</xdr:row>
          <xdr:rowOff>57150</xdr:rowOff>
        </xdr:from>
        <xdr:to>
          <xdr:col>10</xdr:col>
          <xdr:colOff>504825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 MY BOND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26024-913C-4125-A55A-DE743640792A}">
  <sheetPr codeName="Sheet2"/>
  <dimension ref="A2:H18"/>
  <sheetViews>
    <sheetView tabSelected="1" workbookViewId="0">
      <selection activeCell="G11" sqref="G11"/>
    </sheetView>
  </sheetViews>
  <sheetFormatPr defaultRowHeight="14.25" x14ac:dyDescent="0.45"/>
  <cols>
    <col min="1" max="1" width="9.06640625" style="1"/>
    <col min="2" max="2" width="3.33203125" style="1" customWidth="1"/>
    <col min="3" max="3" width="9.53125" style="1" bestFit="1" customWidth="1"/>
    <col min="4" max="4" width="3.46484375" style="1" customWidth="1"/>
    <col min="5" max="16384" width="9.06640625" style="1"/>
  </cols>
  <sheetData>
    <row r="2" spans="1:8" x14ac:dyDescent="0.45">
      <c r="A2" s="2" t="s">
        <v>0</v>
      </c>
      <c r="B2" s="3" t="s">
        <v>1</v>
      </c>
      <c r="C2" s="4">
        <v>2</v>
      </c>
    </row>
    <row r="3" spans="1:8" x14ac:dyDescent="0.45">
      <c r="A3" s="2" t="s">
        <v>2</v>
      </c>
      <c r="B3" s="3" t="s">
        <v>3</v>
      </c>
      <c r="C3" s="4">
        <v>0.25</v>
      </c>
    </row>
    <row r="4" spans="1:8" x14ac:dyDescent="0.45">
      <c r="A4" s="2" t="s">
        <v>4</v>
      </c>
      <c r="B4" s="3" t="s">
        <v>5</v>
      </c>
      <c r="C4" s="5">
        <v>100</v>
      </c>
    </row>
    <row r="5" spans="1:8" x14ac:dyDescent="0.45">
      <c r="A5" s="6" t="s">
        <v>6</v>
      </c>
      <c r="B5" s="2" t="s">
        <v>7</v>
      </c>
      <c r="C5" s="7">
        <v>3</v>
      </c>
      <c r="D5" s="1">
        <v>2</v>
      </c>
    </row>
    <row r="6" spans="1:8" x14ac:dyDescent="0.45">
      <c r="A6" s="6" t="s">
        <v>8</v>
      </c>
      <c r="B6" s="8" t="s">
        <v>9</v>
      </c>
      <c r="C6" s="9">
        <v>0.03</v>
      </c>
    </row>
    <row r="8" spans="1:8" x14ac:dyDescent="0.45">
      <c r="A8" s="1" t="s">
        <v>0</v>
      </c>
      <c r="C8" s="1" t="s">
        <v>6</v>
      </c>
      <c r="E8" s="1" t="s">
        <v>10</v>
      </c>
    </row>
    <row r="9" spans="1:8" x14ac:dyDescent="0.45">
      <c r="A9" s="10">
        <v>0</v>
      </c>
      <c r="B9" s="11"/>
      <c r="C9" s="12">
        <v>0</v>
      </c>
      <c r="E9" s="13">
        <f>C9*EXP(-$C$6*A9)</f>
        <v>0</v>
      </c>
      <c r="G9" s="14" t="s">
        <v>11</v>
      </c>
      <c r="H9" s="13">
        <f>SUM(E9:E17)</f>
        <v>117.38339591649893</v>
      </c>
    </row>
    <row r="10" spans="1:8" x14ac:dyDescent="0.45">
      <c r="A10" s="10">
        <v>0.25</v>
      </c>
      <c r="B10" s="11"/>
      <c r="C10" s="15">
        <f>$C$5</f>
        <v>3</v>
      </c>
      <c r="E10" s="13">
        <f t="shared" ref="E10:E17" si="0">C10*EXP(-$C$6*A10)</f>
        <v>2.977584164457415</v>
      </c>
    </row>
    <row r="11" spans="1:8" x14ac:dyDescent="0.45">
      <c r="A11" s="10">
        <v>0.5</v>
      </c>
      <c r="B11" s="11"/>
      <c r="C11" s="15">
        <f t="shared" ref="C11:C16" si="1">$C$5</f>
        <v>3</v>
      </c>
      <c r="E11" s="13">
        <f t="shared" si="0"/>
        <v>2.9553358188091878</v>
      </c>
      <c r="G11" s="14"/>
      <c r="H11" s="16"/>
    </row>
    <row r="12" spans="1:8" x14ac:dyDescent="0.45">
      <c r="A12" s="10">
        <v>0.75</v>
      </c>
      <c r="B12" s="11"/>
      <c r="C12" s="15">
        <f t="shared" si="1"/>
        <v>3</v>
      </c>
      <c r="E12" s="13">
        <f t="shared" si="0"/>
        <v>2.9332537115800088</v>
      </c>
    </row>
    <row r="13" spans="1:8" x14ac:dyDescent="0.45">
      <c r="A13" s="10">
        <v>1</v>
      </c>
      <c r="B13" s="11"/>
      <c r="C13" s="15">
        <f t="shared" si="1"/>
        <v>3</v>
      </c>
      <c r="E13" s="13">
        <f t="shared" si="0"/>
        <v>2.9113366006455244</v>
      </c>
    </row>
    <row r="14" spans="1:8" x14ac:dyDescent="0.45">
      <c r="A14" s="10">
        <v>1.25</v>
      </c>
      <c r="B14" s="11"/>
      <c r="C14" s="15">
        <f t="shared" si="1"/>
        <v>3</v>
      </c>
      <c r="E14" s="13">
        <f t="shared" si="0"/>
        <v>2.8895832531624652</v>
      </c>
    </row>
    <row r="15" spans="1:8" x14ac:dyDescent="0.45">
      <c r="A15" s="10">
        <v>1.5</v>
      </c>
      <c r="B15" s="11"/>
      <c r="C15" s="15">
        <f t="shared" si="1"/>
        <v>3</v>
      </c>
      <c r="E15" s="13">
        <f t="shared" si="0"/>
        <v>2.8679924454992998</v>
      </c>
    </row>
    <row r="16" spans="1:8" x14ac:dyDescent="0.45">
      <c r="A16" s="10">
        <v>1.75</v>
      </c>
      <c r="B16" s="11"/>
      <c r="C16" s="15">
        <f t="shared" si="1"/>
        <v>3</v>
      </c>
      <c r="E16" s="13">
        <f t="shared" si="0"/>
        <v>2.8465629631674036</v>
      </c>
    </row>
    <row r="17" spans="1:5" x14ac:dyDescent="0.45">
      <c r="A17" s="17">
        <v>2</v>
      </c>
      <c r="B17" s="11"/>
      <c r="C17" s="15">
        <f>$C$5+C4</f>
        <v>103</v>
      </c>
      <c r="E17" s="13">
        <f t="shared" si="0"/>
        <v>97.001746959177623</v>
      </c>
    </row>
    <row r="18" spans="1:5" x14ac:dyDescent="0.45">
      <c r="C18" s="18">
        <f>SUM(C9:C17)</f>
        <v>124</v>
      </c>
      <c r="E18" s="19">
        <f>SUM(E9:E17)</f>
        <v>117.38339591649893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ndPricer">
                <anchor moveWithCells="1" sizeWithCells="1">
                  <from>
                    <xdr:col>7</xdr:col>
                    <xdr:colOff>590550</xdr:colOff>
                    <xdr:row>1</xdr:row>
                    <xdr:rowOff>57150</xdr:rowOff>
                  </from>
                  <to>
                    <xdr:col>10</xdr:col>
                    <xdr:colOff>504825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BondPricer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LAWATI</dc:creator>
  <cp:lastModifiedBy>ALI AL-LAWATIA</cp:lastModifiedBy>
  <dcterms:created xsi:type="dcterms:W3CDTF">2015-06-05T18:17:20Z</dcterms:created>
  <dcterms:modified xsi:type="dcterms:W3CDTF">2023-11-17T20:51:22Z</dcterms:modified>
</cp:coreProperties>
</file>